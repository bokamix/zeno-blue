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zet Glowny" sheetId="1" state="visible" r:id="rId1"/>
    <sheet xmlns:r="http://schemas.openxmlformats.org/officeDocument/2006/relationships" name="Wydatki Szczegolowe" sheetId="2" state="visible" r:id="rId2"/>
    <sheet xmlns:r="http://schemas.openxmlformats.org/officeDocument/2006/relationships" name="Plan vs Wykonan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Kategoria</t>
        </is>
      </c>
      <c r="B1" s="1" t="inlineStr">
        <is>
          <t>Styczen</t>
        </is>
      </c>
      <c r="C1" s="1" t="inlineStr">
        <is>
          <t>Luty</t>
        </is>
      </c>
      <c r="D1" s="1" t="inlineStr">
        <is>
          <t>Marzec</t>
        </is>
      </c>
      <c r="E1" s="1" t="inlineStr">
        <is>
          <t>Kwiecien</t>
        </is>
      </c>
      <c r="F1" s="1" t="inlineStr">
        <is>
          <t>Maj</t>
        </is>
      </c>
      <c r="G1" s="1" t="inlineStr">
        <is>
          <t>Czerwiec</t>
        </is>
      </c>
      <c r="H1" s="1" t="inlineStr">
        <is>
          <t>Lipiec</t>
        </is>
      </c>
      <c r="I1" s="1" t="inlineStr">
        <is>
          <t>Sierpien</t>
        </is>
      </c>
      <c r="J1" s="1" t="inlineStr">
        <is>
          <t>Wrzesien</t>
        </is>
      </c>
      <c r="K1" s="1" t="inlineStr">
        <is>
          <t>Pazdziernik</t>
        </is>
      </c>
      <c r="L1" s="1" t="inlineStr">
        <is>
          <t>Listopad</t>
        </is>
      </c>
      <c r="M1" s="1" t="inlineStr">
        <is>
          <t>Grudzien</t>
        </is>
      </c>
      <c r="N1" s="1" t="inlineStr">
        <is>
          <t>SUMA</t>
        </is>
      </c>
    </row>
    <row r="2">
      <c r="A2" t="inlineStr">
        <is>
          <t>Wynagrodzenia</t>
        </is>
      </c>
      <c r="B2" t="n">
        <v>45000</v>
      </c>
      <c r="C2" t="n">
        <v>45000</v>
      </c>
      <c r="D2" t="n">
        <v>45000</v>
      </c>
      <c r="E2" t="n">
        <v>47500</v>
      </c>
      <c r="F2" t="n">
        <v>47500</v>
      </c>
      <c r="G2" t="n">
        <v>47500</v>
      </c>
      <c r="H2" t="n">
        <v>47500</v>
      </c>
      <c r="I2" t="n">
        <v>47500</v>
      </c>
      <c r="J2" t="n">
        <v>50000</v>
      </c>
      <c r="K2" t="n">
        <v>50000</v>
      </c>
      <c r="L2" t="n">
        <v>50000</v>
      </c>
      <c r="M2" t="n">
        <v>52000</v>
      </c>
      <c r="N2">
        <f>SUM(B2:M2)</f>
        <v/>
      </c>
    </row>
    <row r="3">
      <c r="A3" t="inlineStr">
        <is>
          <t>wynagrodzenia - premie</t>
        </is>
      </c>
      <c r="B3" t="n">
        <v>5000</v>
      </c>
      <c r="C3" t="n">
        <v>0</v>
      </c>
      <c r="D3" t="n">
        <v>8000</v>
      </c>
      <c r="E3" t="n">
        <v>0</v>
      </c>
      <c r="F3" t="n">
        <v>0</v>
      </c>
      <c r="G3" t="n">
        <v>15000</v>
      </c>
      <c r="H3" t="n">
        <v>0</v>
      </c>
      <c r="I3" t="n">
        <v>0</v>
      </c>
      <c r="J3" t="n">
        <v>12000</v>
      </c>
      <c r="K3" t="n">
        <v>0</v>
      </c>
      <c r="L3" t="n">
        <v>0</v>
      </c>
      <c r="M3" t="n">
        <v>25000</v>
      </c>
      <c r="N3">
        <f>SUM(B3:M3)</f>
        <v/>
      </c>
    </row>
    <row r="4">
      <c r="A4" t="inlineStr">
        <is>
          <t>ZUS</t>
        </is>
      </c>
      <c r="B4" t="n">
        <v>9800</v>
      </c>
      <c r="C4" t="n">
        <v>9800</v>
      </c>
      <c r="D4" t="n">
        <v>9800</v>
      </c>
      <c r="E4" t="n">
        <v>10300</v>
      </c>
      <c r="F4" t="n">
        <v>10300</v>
      </c>
      <c r="G4" t="n">
        <v>10300</v>
      </c>
      <c r="H4" t="n">
        <v>10300</v>
      </c>
      <c r="I4" t="n">
        <v>10300</v>
      </c>
      <c r="J4" t="n">
        <v>10900</v>
      </c>
      <c r="K4" t="n">
        <v>10900</v>
      </c>
      <c r="L4" t="n">
        <v>10900</v>
      </c>
      <c r="M4" t="n">
        <v>11300</v>
      </c>
      <c r="N4">
        <f>SUM(B4:M4)</f>
        <v/>
      </c>
    </row>
    <row r="5">
      <c r="A5" t="inlineStr">
        <is>
          <t>Biuro - czynsz</t>
        </is>
      </c>
      <c r="B5" t="n">
        <v>8500</v>
      </c>
      <c r="C5" t="n">
        <v>8500</v>
      </c>
      <c r="D5" t="n">
        <v>8500</v>
      </c>
      <c r="E5" t="n">
        <v>8500</v>
      </c>
      <c r="F5" t="n">
        <v>8500</v>
      </c>
      <c r="G5" t="n">
        <v>8500</v>
      </c>
      <c r="H5" t="n">
        <v>8500</v>
      </c>
      <c r="I5" t="n">
        <v>8500</v>
      </c>
      <c r="J5" t="n">
        <v>8500</v>
      </c>
      <c r="K5" t="n">
        <v>8500</v>
      </c>
      <c r="L5" t="n">
        <v>8500</v>
      </c>
      <c r="M5" t="n">
        <v>8500</v>
      </c>
      <c r="N5">
        <f>SUM(B5:M5)</f>
        <v/>
      </c>
    </row>
    <row r="6">
      <c r="A6" t="inlineStr">
        <is>
          <t>biuro - media</t>
        </is>
      </c>
      <c r="B6" t="n">
        <v>1200</v>
      </c>
      <c r="C6" t="n">
        <v>1400</v>
      </c>
      <c r="D6" t="n">
        <v>1100</v>
      </c>
      <c r="E6" t="n">
        <v>900</v>
      </c>
      <c r="F6" t="n">
        <v>800</v>
      </c>
      <c r="G6" t="n">
        <v>1500</v>
      </c>
      <c r="H6" t="n">
        <v>1800</v>
      </c>
      <c r="I6" t="n">
        <v>1900</v>
      </c>
      <c r="J6" t="n">
        <v>1200</v>
      </c>
      <c r="K6" t="n">
        <v>1100</v>
      </c>
      <c r="L6" t="n">
        <v>1300</v>
      </c>
      <c r="M6" t="n">
        <v>1500</v>
      </c>
      <c r="N6">
        <f>SUM(B6:M6)</f>
        <v/>
      </c>
    </row>
    <row r="7">
      <c r="A7" t="inlineStr">
        <is>
          <t>IT - hosting</t>
        </is>
      </c>
      <c r="B7" t="n">
        <v>2500</v>
      </c>
      <c r="C7" t="n">
        <v>2500</v>
      </c>
      <c r="D7" t="n">
        <v>2500</v>
      </c>
      <c r="E7" t="n">
        <v>2500</v>
      </c>
      <c r="F7" t="n">
        <v>2500</v>
      </c>
      <c r="G7" t="n">
        <v>2500</v>
      </c>
      <c r="H7" t="n">
        <v>2500</v>
      </c>
      <c r="I7" t="n">
        <v>2500</v>
      </c>
      <c r="J7" t="n">
        <v>2500</v>
      </c>
      <c r="K7" t="n">
        <v>2500</v>
      </c>
      <c r="L7" t="n">
        <v>2500</v>
      </c>
      <c r="M7" t="n">
        <v>2500</v>
      </c>
      <c r="N7">
        <f>SUM(B7:M7)</f>
        <v/>
      </c>
    </row>
    <row r="8">
      <c r="A8" t="inlineStr">
        <is>
          <t>IT - licencje</t>
        </is>
      </c>
      <c r="B8" t="n">
        <v>800</v>
      </c>
      <c r="C8" t="n">
        <v>800</v>
      </c>
      <c r="D8" t="n">
        <v>800</v>
      </c>
      <c r="E8" t="n">
        <v>800</v>
      </c>
      <c r="F8" t="n">
        <v>800</v>
      </c>
      <c r="G8" t="n">
        <v>800</v>
      </c>
      <c r="H8" t="n">
        <v>800</v>
      </c>
      <c r="I8" t="n">
        <v>800</v>
      </c>
      <c r="J8" t="n">
        <v>800</v>
      </c>
      <c r="K8" t="n">
        <v>800</v>
      </c>
      <c r="L8" t="n">
        <v>800</v>
      </c>
      <c r="M8" t="n">
        <v>800</v>
      </c>
      <c r="N8">
        <f>SUM(B8:M8)</f>
        <v/>
      </c>
    </row>
    <row r="9">
      <c r="A9" t="inlineStr">
        <is>
          <t>Marketing</t>
        </is>
      </c>
      <c r="B9" t="n">
        <v>15000</v>
      </c>
      <c r="C9" t="n">
        <v>12000</v>
      </c>
      <c r="D9" t="n">
        <v>18000</v>
      </c>
      <c r="E9" t="n">
        <v>20000</v>
      </c>
      <c r="F9" t="n">
        <v>25000</v>
      </c>
      <c r="G9" t="n">
        <v>22000</v>
      </c>
      <c r="H9" t="n">
        <v>18000</v>
      </c>
      <c r="I9" t="n">
        <v>15000</v>
      </c>
      <c r="J9" t="n">
        <v>20000</v>
      </c>
      <c r="K9" t="n">
        <v>22000</v>
      </c>
      <c r="L9" t="n">
        <v>28000</v>
      </c>
      <c r="M9" t="n">
        <v>35000</v>
      </c>
      <c r="N9">
        <f>SUM(B9:M9)</f>
        <v/>
      </c>
    </row>
    <row r="10">
      <c r="A10" t="inlineStr">
        <is>
          <t>marketing - social media</t>
        </is>
      </c>
      <c r="B10" t="n">
        <v>3000</v>
      </c>
      <c r="C10" t="n">
        <v>3500</v>
      </c>
      <c r="D10" t="n">
        <v>4000</v>
      </c>
      <c r="E10" t="n">
        <v>4500</v>
      </c>
      <c r="F10" t="n">
        <v>5000</v>
      </c>
      <c r="G10" t="n">
        <v>5000</v>
      </c>
      <c r="H10" t="n">
        <v>4000</v>
      </c>
      <c r="I10" t="n">
        <v>3000</v>
      </c>
      <c r="J10" t="n">
        <v>4500</v>
      </c>
      <c r="K10" t="n">
        <v>5000</v>
      </c>
      <c r="L10" t="n">
        <v>6000</v>
      </c>
      <c r="M10" t="n">
        <v>8000</v>
      </c>
      <c r="N10">
        <f>SUM(B10:M10)</f>
        <v/>
      </c>
    </row>
    <row r="11">
      <c r="A11" t="inlineStr">
        <is>
          <t>Podroze sluzbowe</t>
        </is>
      </c>
      <c r="B11" t="n">
        <v>2000</v>
      </c>
      <c r="C11" t="n">
        <v>0</v>
      </c>
      <c r="D11" t="n">
        <v>5000</v>
      </c>
      <c r="E11" t="n">
        <v>3000</v>
      </c>
      <c r="F11" t="n">
        <v>0</v>
      </c>
      <c r="G11" t="n">
        <v>8000</v>
      </c>
      <c r="H11" t="n">
        <v>2000</v>
      </c>
      <c r="I11" t="n">
        <v>0</v>
      </c>
      <c r="J11" t="n">
        <v>4000</v>
      </c>
      <c r="K11" t="n">
        <v>6000</v>
      </c>
      <c r="L11" t="n">
        <v>0</v>
      </c>
      <c r="M11" t="n">
        <v>10000</v>
      </c>
      <c r="N11">
        <f>SUM(B11:M11)</f>
        <v/>
      </c>
    </row>
    <row r="12">
      <c r="A12" t="inlineStr">
        <is>
          <t>Szkolenia</t>
        </is>
      </c>
      <c r="B12" t="n">
        <v>0</v>
      </c>
      <c r="C12" t="n">
        <v>2000</v>
      </c>
      <c r="D12" t="n">
        <v>0</v>
      </c>
      <c r="E12" t="n">
        <v>0</v>
      </c>
      <c r="F12" t="n">
        <v>5000</v>
      </c>
      <c r="G12" t="n">
        <v>0</v>
      </c>
      <c r="H12" t="n">
        <v>0</v>
      </c>
      <c r="I12" t="n">
        <v>3000</v>
      </c>
      <c r="J12" t="n">
        <v>0</v>
      </c>
      <c r="K12" t="n">
        <v>0</v>
      </c>
      <c r="L12" t="n">
        <v>4000</v>
      </c>
      <c r="M12" t="n">
        <v>0</v>
      </c>
      <c r="N12">
        <f>SUM(B12:M12)</f>
        <v/>
      </c>
    </row>
    <row r="13">
      <c r="A13" t="inlineStr">
        <is>
          <t>Inne - rozne</t>
        </is>
      </c>
      <c r="B13" t="n">
        <v>500</v>
      </c>
      <c r="C13" t="n">
        <v>800</v>
      </c>
      <c r="D13" t="n">
        <v>1200</v>
      </c>
      <c r="E13" t="n">
        <v>600</v>
      </c>
      <c r="F13" t="n">
        <v>900</v>
      </c>
      <c r="G13" t="n">
        <v>1500</v>
      </c>
      <c r="H13" t="n">
        <v>700</v>
      </c>
      <c r="I13" t="n">
        <v>400</v>
      </c>
      <c r="J13" t="n">
        <v>1100</v>
      </c>
      <c r="K13" t="n">
        <v>800</v>
      </c>
      <c r="L13" t="n">
        <v>1200</v>
      </c>
      <c r="M13" t="n">
        <v>2000</v>
      </c>
      <c r="N13">
        <f>SUM(B13:M13)</f>
        <v/>
      </c>
    </row>
    <row r="14">
      <c r="A14" t="inlineStr">
        <is>
          <t>BLAD DO SPRAWDZENIA</t>
        </is>
      </c>
      <c r="N14">
        <f>SUM(B14:M14)</f>
        <v/>
      </c>
    </row>
    <row r="15">
      <c r="A15" t="inlineStr">
        <is>
          <t>Rezerwa</t>
        </is>
      </c>
      <c r="B15" t="n">
        <v>5000</v>
      </c>
      <c r="C15" t="n">
        <v>5000</v>
      </c>
      <c r="D15" t="n">
        <v>5000</v>
      </c>
      <c r="E15" t="n">
        <v>5000</v>
      </c>
      <c r="F15" t="n">
        <v>5000</v>
      </c>
      <c r="G15" t="n">
        <v>5000</v>
      </c>
      <c r="H15" t="n">
        <v>5000</v>
      </c>
      <c r="I15" t="n">
        <v>5000</v>
      </c>
      <c r="J15" t="n">
        <v>5000</v>
      </c>
      <c r="K15" t="n">
        <v>5000</v>
      </c>
      <c r="L15" t="n">
        <v>5000</v>
      </c>
      <c r="M15" t="n">
        <v>5000</v>
      </c>
      <c r="N15">
        <f>SUM(B15:M15)</f>
        <v/>
      </c>
    </row>
    <row r="16">
      <c r="A16" s="2" t="inlineStr">
        <is>
          <t>RAZEM</t>
        </is>
      </c>
      <c r="B16">
        <f>SUM(B2:B14)</f>
        <v/>
      </c>
      <c r="C16">
        <f>SUM(C2:C14)</f>
        <v/>
      </c>
      <c r="D16">
        <f>SUM(D2:D14)</f>
        <v/>
      </c>
      <c r="E16">
        <f>SUM(E2:E14)</f>
        <v/>
      </c>
      <c r="F16">
        <f>SUM(F2:F14)</f>
        <v/>
      </c>
      <c r="G16">
        <f>SUM(G2:G14)</f>
        <v/>
      </c>
      <c r="H16">
        <f>SUM(H2:H14)</f>
        <v/>
      </c>
      <c r="I16">
        <f>SUM(I2:I14)</f>
        <v/>
      </c>
      <c r="J16">
        <f>SUM(J2:J14)</f>
        <v/>
      </c>
      <c r="K16">
        <f>SUM(K2:K14)</f>
        <v/>
      </c>
      <c r="L16">
        <f>SUM(L2:L14)</f>
        <v/>
      </c>
      <c r="M16">
        <f>SUM(M2:M14)</f>
        <v/>
      </c>
      <c r="N16">
        <f>SUM(N2:N14)</f>
        <v/>
      </c>
    </row>
    <row r="18">
      <c r="A18" s="3" t="inlineStr">
        <is>
          <t>NOTATKI:</t>
        </is>
      </c>
    </row>
    <row r="19">
      <c r="A19" t="inlineStr">
        <is>
          <t>- sprawdzic premie w Q4</t>
        </is>
      </c>
    </row>
    <row r="20">
      <c r="A20" t="inlineStr">
        <is>
          <t>- marketing przekroczony!!!</t>
        </is>
      </c>
    </row>
    <row r="21">
      <c r="A21" t="inlineStr">
        <is>
          <t>- brakuje faktur za listopad</t>
        </is>
      </c>
    </row>
    <row r="22">
      <c r="A22" t="inlineStr">
        <is>
          <t>- CEO chce raport do piatku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" t="inlineStr">
        <is>
          <t>Data</t>
        </is>
      </c>
      <c r="B1" s="2" t="inlineStr">
        <is>
          <t>Opis</t>
        </is>
      </c>
      <c r="C1" s="2" t="inlineStr">
        <is>
          <t>Kategoria</t>
        </is>
      </c>
      <c r="D1" s="2" t="inlineStr">
        <is>
          <t>Kwota</t>
        </is>
      </c>
      <c r="E1" s="2" t="inlineStr">
        <is>
          <t>Faktura</t>
        </is>
      </c>
      <c r="F1" s="2" t="inlineStr">
        <is>
          <t>Status</t>
        </is>
      </c>
    </row>
    <row r="2">
      <c r="A2" t="inlineStr">
        <is>
          <t>2024-01-05</t>
        </is>
      </c>
      <c r="B2" t="inlineStr">
        <is>
          <t>Zakup komputera Dell</t>
        </is>
      </c>
      <c r="C2" t="inlineStr">
        <is>
          <t>IT</t>
        </is>
      </c>
      <c r="D2" t="n">
        <v>4500</v>
      </c>
      <c r="E2" t="inlineStr">
        <is>
          <t>FV/2024/001</t>
        </is>
      </c>
      <c r="F2" t="inlineStr">
        <is>
          <t>zaplacone</t>
        </is>
      </c>
    </row>
    <row r="3">
      <c r="A3" t="inlineStr">
        <is>
          <t>2024-01-05</t>
        </is>
      </c>
      <c r="B3" t="inlineStr">
        <is>
          <t>Zakup komputera Dell</t>
        </is>
      </c>
      <c r="C3" t="inlineStr">
        <is>
          <t>IT</t>
        </is>
      </c>
      <c r="D3" t="n">
        <v>4500</v>
      </c>
      <c r="E3" t="inlineStr">
        <is>
          <t>FV/2024/001</t>
        </is>
      </c>
      <c r="F3" t="inlineStr">
        <is>
          <t>zaplacone</t>
        </is>
      </c>
    </row>
    <row r="4">
      <c r="A4" t="inlineStr">
        <is>
          <t>2024-01-10</t>
        </is>
      </c>
      <c r="B4" t="inlineStr">
        <is>
          <t>Google Ads - styczen</t>
        </is>
      </c>
      <c r="C4" t="inlineStr">
        <is>
          <t>Marketing</t>
        </is>
      </c>
      <c r="D4" t="n">
        <v>5000</v>
      </c>
      <c r="E4" t="inlineStr">
        <is>
          <t>FV/2024/005</t>
        </is>
      </c>
      <c r="F4" t="inlineStr">
        <is>
          <t>zaplacone</t>
        </is>
      </c>
    </row>
    <row r="5">
      <c r="A5" t="inlineStr">
        <is>
          <t>2024-01-12</t>
        </is>
      </c>
      <c r="B5" t="inlineStr">
        <is>
          <t>Catering spotkanie</t>
        </is>
      </c>
      <c r="C5" t="inlineStr">
        <is>
          <t>Inne</t>
        </is>
      </c>
      <c r="D5" t="n">
        <v>450</v>
      </c>
      <c r="F5" t="inlineStr">
        <is>
          <t>do zaplaty</t>
        </is>
      </c>
    </row>
    <row r="6">
      <c r="A6" t="inlineStr">
        <is>
          <t>2024-01-15</t>
        </is>
      </c>
      <c r="B6" t="inlineStr">
        <is>
          <t>Bilet lotniczy Warszawa-Londyn</t>
        </is>
      </c>
      <c r="C6" t="inlineStr">
        <is>
          <t>Podroze</t>
        </is>
      </c>
      <c r="D6" t="n">
        <v>890</v>
      </c>
      <c r="E6" t="inlineStr">
        <is>
          <t>FV/2024/008</t>
        </is>
      </c>
      <c r="F6" t="inlineStr">
        <is>
          <t>zaplacone</t>
        </is>
      </c>
    </row>
    <row r="7">
      <c r="A7" t="inlineStr">
        <is>
          <t>2024-01-15</t>
        </is>
      </c>
      <c r="B7" t="inlineStr">
        <is>
          <t>bilet lotniczy warszawa-londyn</t>
        </is>
      </c>
      <c r="C7" t="inlineStr">
        <is>
          <t>podroze</t>
        </is>
      </c>
      <c r="D7" t="n">
        <v>890</v>
      </c>
      <c r="E7" t="inlineStr">
        <is>
          <t>FV/2024/008</t>
        </is>
      </c>
      <c r="F7" t="inlineStr">
        <is>
          <t>zaplacone</t>
        </is>
      </c>
    </row>
    <row r="8">
      <c r="A8" t="inlineStr">
        <is>
          <t>2024-01-18</t>
        </is>
      </c>
      <c r="B8" t="inlineStr">
        <is>
          <t>Szkolenie Python</t>
        </is>
      </c>
      <c r="C8" t="inlineStr">
        <is>
          <t>Szkolenia</t>
        </is>
      </c>
      <c r="D8" t="n">
        <v>2000</v>
      </c>
      <c r="E8" t="inlineStr">
        <is>
          <t>FV/2024/012</t>
        </is>
      </c>
      <c r="F8" t="inlineStr">
        <is>
          <t>zaplacone</t>
        </is>
      </c>
    </row>
    <row r="9">
      <c r="A9" t="inlineStr">
        <is>
          <t>2024-01-22</t>
        </is>
      </c>
      <c r="B9" t="inlineStr">
        <is>
          <t>Adobe Creative Cloud</t>
        </is>
      </c>
      <c r="C9" t="inlineStr">
        <is>
          <t>IT</t>
        </is>
      </c>
      <c r="D9" t="n">
        <v>240</v>
      </c>
      <c r="F9" t="inlineStr">
        <is>
          <t>subskrypcja</t>
        </is>
      </c>
    </row>
    <row r="10">
      <c r="A10" t="inlineStr">
        <is>
          <t>2024-02-01</t>
        </is>
      </c>
      <c r="B10" t="inlineStr">
        <is>
          <t>Czynsz biuro - luty</t>
        </is>
      </c>
      <c r="C10" t="inlineStr">
        <is>
          <t>Biuro</t>
        </is>
      </c>
      <c r="D10" t="n">
        <v>8500</v>
      </c>
      <c r="E10" t="inlineStr">
        <is>
          <t>FV/2024/015</t>
        </is>
      </c>
      <c r="F10" t="inlineStr">
        <is>
          <t>zaplacone</t>
        </is>
      </c>
    </row>
    <row r="11">
      <c r="A11" t="inlineStr">
        <is>
          <t>2024-02-05</t>
        </is>
      </c>
      <c r="B11" t="inlineStr">
        <is>
          <t>Facebook Ads</t>
        </is>
      </c>
      <c r="C11" t="inlineStr">
        <is>
          <t>Marketing</t>
        </is>
      </c>
      <c r="D11" t="n">
        <v>3500</v>
      </c>
      <c r="E11" t="inlineStr">
        <is>
          <t>FV/2024/018</t>
        </is>
      </c>
      <c r="F11" t="inlineStr">
        <is>
          <t>zaplacone</t>
        </is>
      </c>
    </row>
    <row r="12">
      <c r="A12" t="inlineStr">
        <is>
          <t>2024-02-08</t>
        </is>
      </c>
      <c r="B12" t="inlineStr">
        <is>
          <t>Przesylka kurierska</t>
        </is>
      </c>
      <c r="C12" t="inlineStr">
        <is>
          <t>Inne</t>
        </is>
      </c>
      <c r="D12" t="n">
        <v>45</v>
      </c>
      <c r="F12" t="inlineStr">
        <is>
          <t>?</t>
        </is>
      </c>
    </row>
    <row r="13">
      <c r="A13" t="inlineStr">
        <is>
          <t>2024-02-10</t>
        </is>
      </c>
      <c r="B13" t="inlineStr">
        <is>
          <t>Lunch klient ABC</t>
        </is>
      </c>
      <c r="C13" t="inlineStr">
        <is>
          <t>Reprezentacja</t>
        </is>
      </c>
      <c r="D13" t="n">
        <v>320</v>
      </c>
      <c r="E13" t="inlineStr">
        <is>
          <t>FV/2024/022</t>
        </is>
      </c>
      <c r="F13" t="inlineStr">
        <is>
          <t>zaplacone</t>
        </is>
      </c>
    </row>
    <row r="14">
      <c r="A14" t="inlineStr">
        <is>
          <t>2024-02-10</t>
        </is>
      </c>
      <c r="B14" t="inlineStr">
        <is>
          <t>Lunch klient ABC</t>
        </is>
      </c>
      <c r="C14" t="inlineStr">
        <is>
          <t>Reprezentacja</t>
        </is>
      </c>
      <c r="D14" t="n">
        <v>320</v>
      </c>
      <c r="E14" t="inlineStr">
        <is>
          <t>FV/2024/022</t>
        </is>
      </c>
      <c r="F14" t="inlineStr">
        <is>
          <t>zaplacone</t>
        </is>
      </c>
    </row>
    <row r="15">
      <c r="A15" t="inlineStr">
        <is>
          <t>2024-02-15</t>
        </is>
      </c>
      <c r="B15" t="inlineStr">
        <is>
          <t>AWS hosting - luty</t>
        </is>
      </c>
      <c r="C15" t="inlineStr">
        <is>
          <t>IT</t>
        </is>
      </c>
      <c r="D15" t="n">
        <v>2500</v>
      </c>
      <c r="E15" t="inlineStr">
        <is>
          <t>FV/2024/025</t>
        </is>
      </c>
      <c r="F15" t="inlineStr">
        <is>
          <t>zaplacone</t>
        </is>
      </c>
    </row>
    <row r="16">
      <c r="A16" t="inlineStr">
        <is>
          <t>2024-02-20</t>
        </is>
      </c>
      <c r="B16" t="inlineStr">
        <is>
          <t>Drukarka Brother</t>
        </is>
      </c>
      <c r="C16" t="inlineStr">
        <is>
          <t>IT</t>
        </is>
      </c>
      <c r="D16" t="n">
        <v>1200</v>
      </c>
      <c r="E16" t="inlineStr">
        <is>
          <t>FV/2024/028</t>
        </is>
      </c>
      <c r="F16" t="inlineStr">
        <is>
          <t>do zaplaty</t>
        </is>
      </c>
    </row>
    <row r="17">
      <c r="A17" t="inlineStr">
        <is>
          <t>2024-02-22</t>
        </is>
      </c>
      <c r="B17" t="inlineStr">
        <is>
          <t>LinkedIn Premium</t>
        </is>
      </c>
      <c r="C17" t="inlineStr">
        <is>
          <t>Marketing</t>
        </is>
      </c>
      <c r="D17" t="n">
        <v>120</v>
      </c>
      <c r="F17" t="inlineStr">
        <is>
          <t>subskrypcja</t>
        </is>
      </c>
    </row>
    <row r="18">
      <c r="A18" t="inlineStr">
        <is>
          <t>2024-02-28</t>
        </is>
      </c>
      <c r="B18" t="inlineStr">
        <is>
          <t>Bilet PKP Krakow</t>
        </is>
      </c>
      <c r="C18" t="inlineStr">
        <is>
          <t>Podroze</t>
        </is>
      </c>
      <c r="D18" t="n">
        <v>180</v>
      </c>
      <c r="F18" t="inlineStr">
        <is>
          <t>brak faktury</t>
        </is>
      </c>
    </row>
    <row r="19">
      <c r="A19" t="inlineStr">
        <is>
          <t>2024-03-01</t>
        </is>
      </c>
      <c r="B19" t="inlineStr">
        <is>
          <t>Czynsz biuro - marzec</t>
        </is>
      </c>
      <c r="C19" t="inlineStr">
        <is>
          <t>Biuro</t>
        </is>
      </c>
      <c r="D19" t="n">
        <v>8500</v>
      </c>
      <c r="E19" t="inlineStr">
        <is>
          <t>FV/2024/032</t>
        </is>
      </c>
      <c r="F19" t="inlineStr">
        <is>
          <t>zaplacone</t>
        </is>
      </c>
    </row>
    <row r="20">
      <c r="A20" t="inlineStr">
        <is>
          <t>2024-03-05</t>
        </is>
      </c>
      <c r="B20" t="inlineStr">
        <is>
          <t>Konferencja IT Summit</t>
        </is>
      </c>
      <c r="C20" t="inlineStr">
        <is>
          <t>Szkolenia</t>
        </is>
      </c>
      <c r="D20" t="n">
        <v>1500</v>
      </c>
      <c r="E20" t="inlineStr">
        <is>
          <t>FV/2024/035</t>
        </is>
      </c>
      <c r="F20" t="inlineStr">
        <is>
          <t>zaplacone</t>
        </is>
      </c>
    </row>
    <row r="21">
      <c r="A21" t="inlineStr">
        <is>
          <t>2024-03-08</t>
        </is>
      </c>
      <c r="B21" t="inlineStr">
        <is>
          <t>Google Ads - marzec</t>
        </is>
      </c>
      <c r="C21" t="inlineStr">
        <is>
          <t>Marketing</t>
        </is>
      </c>
      <c r="D21" t="n">
        <v>8000</v>
      </c>
      <c r="E21" t="inlineStr">
        <is>
          <t>FV/2024/038</t>
        </is>
      </c>
      <c r="F21" t="inlineStr">
        <is>
          <t>zaplacone</t>
        </is>
      </c>
    </row>
    <row r="22">
      <c r="A22" t="inlineStr">
        <is>
          <t>2024-03-10</t>
        </is>
      </c>
      <c r="B22" t="inlineStr">
        <is>
          <t>Zakup monitora LG</t>
        </is>
      </c>
      <c r="C22" t="inlineStr">
        <is>
          <t>IT</t>
        </is>
      </c>
      <c r="D22" t="n">
        <v>1800</v>
      </c>
      <c r="E22" t="inlineStr">
        <is>
          <t>FV/2024/040</t>
        </is>
      </c>
      <c r="F22" t="inlineStr">
        <is>
          <t>zaplacone</t>
        </is>
      </c>
    </row>
    <row r="23">
      <c r="A23" t="inlineStr">
        <is>
          <t>2024-03-10</t>
        </is>
      </c>
      <c r="B23" t="inlineStr">
        <is>
          <t>Zakup monitora LG</t>
        </is>
      </c>
      <c r="C23" t="inlineStr">
        <is>
          <t>IT</t>
        </is>
      </c>
      <c r="D23" t="n">
        <v>-1800</v>
      </c>
      <c r="E23" t="inlineStr">
        <is>
          <t>KOREKTA</t>
        </is>
      </c>
      <c r="F23" t="inlineStr">
        <is>
          <t>korekta</t>
        </is>
      </c>
    </row>
    <row r="24">
      <c r="A24" t="inlineStr">
        <is>
          <t>2024-03-10</t>
        </is>
      </c>
      <c r="B24" t="inlineStr">
        <is>
          <t>Zakup monitora LG 27 cali</t>
        </is>
      </c>
      <c r="C24" t="inlineStr">
        <is>
          <t>IT</t>
        </is>
      </c>
      <c r="D24" t="n">
        <v>1650</v>
      </c>
      <c r="E24" t="inlineStr">
        <is>
          <t>FV/2024/040-K</t>
        </is>
      </c>
      <c r="F24" t="inlineStr">
        <is>
          <t>zaplacone</t>
        </is>
      </c>
    </row>
    <row r="25">
      <c r="A25" t="inlineStr">
        <is>
          <t>2024-03-15</t>
        </is>
      </c>
      <c r="B25" t="inlineStr">
        <is>
          <t>Hotel Londyn - delegacja</t>
        </is>
      </c>
      <c r="C25" t="inlineStr">
        <is>
          <t>Podroze</t>
        </is>
      </c>
      <c r="D25" t="n">
        <v>2400</v>
      </c>
      <c r="E25" t="inlineStr">
        <is>
          <t>FV/2024/045</t>
        </is>
      </c>
      <c r="F25" t="inlineStr">
        <is>
          <t>zaplacone</t>
        </is>
      </c>
    </row>
    <row r="26">
      <c r="A26" t="inlineStr">
        <is>
          <t>2024-03-18</t>
        </is>
      </c>
      <c r="B26" t="inlineStr"/>
      <c r="C26" t="inlineStr">
        <is>
          <t>Inne</t>
        </is>
      </c>
      <c r="D26" t="n">
        <v>999.99</v>
      </c>
      <c r="F26" t="inlineStr">
        <is>
          <t>???</t>
        </is>
      </c>
    </row>
    <row r="27">
      <c r="A27" t="inlineStr">
        <is>
          <t>2024-03-20</t>
        </is>
      </c>
      <c r="B27" t="inlineStr">
        <is>
          <t>Materialy biurowe</t>
        </is>
      </c>
      <c r="C27" t="inlineStr">
        <is>
          <t>Biuro</t>
        </is>
      </c>
      <c r="D27" t="n">
        <v>380</v>
      </c>
      <c r="E27" t="inlineStr">
        <is>
          <t>FV/2024/048</t>
        </is>
      </c>
      <c r="F27" t="inlineStr">
        <is>
          <t>zaplacone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" t="inlineStr">
        <is>
          <t>Miesiac</t>
        </is>
      </c>
      <c r="B1" s="2" t="inlineStr">
        <is>
          <t>Plan</t>
        </is>
      </c>
      <c r="C1" s="2" t="inlineStr">
        <is>
          <t>Wykonanie</t>
        </is>
      </c>
      <c r="D1" s="2" t="inlineStr">
        <is>
          <t>Roznica</t>
        </is>
      </c>
      <c r="E1" s="2" t="inlineStr">
        <is>
          <t>%</t>
        </is>
      </c>
    </row>
    <row r="2">
      <c r="A2" t="inlineStr">
        <is>
          <t>Styczen</t>
        </is>
      </c>
      <c r="B2" t="n">
        <v>95000</v>
      </c>
      <c r="C2" t="n">
        <v>87296</v>
      </c>
      <c r="D2">
        <f>C2-B2</f>
        <v/>
      </c>
      <c r="E2">
        <f>D2/B2*100</f>
        <v/>
      </c>
    </row>
    <row r="3">
      <c r="A3" t="inlineStr">
        <is>
          <t>Luty</t>
        </is>
      </c>
      <c r="B3" t="n">
        <v>92000</v>
      </c>
      <c r="C3" t="n">
        <v>78639</v>
      </c>
      <c r="D3">
        <f>C3-B3</f>
        <v/>
      </c>
      <c r="E3">
        <f>D3/B3*100</f>
        <v/>
      </c>
    </row>
    <row r="4">
      <c r="A4" t="inlineStr">
        <is>
          <t>Marzec</t>
        </is>
      </c>
      <c r="B4" t="n">
        <v>100000</v>
      </c>
      <c r="C4" t="n">
        <v>103024</v>
      </c>
      <c r="D4">
        <f>C4-B4</f>
        <v/>
      </c>
      <c r="E4">
        <f>D4/B4*100</f>
        <v/>
      </c>
    </row>
    <row r="5">
      <c r="A5" t="inlineStr">
        <is>
          <t>Kwiecien</t>
        </is>
      </c>
      <c r="B5" t="n">
        <v>98000</v>
      </c>
      <c r="C5" t="n">
        <v>99049</v>
      </c>
      <c r="D5">
        <f>C5-B5</f>
        <v/>
      </c>
      <c r="E5">
        <f>D5/B5*100</f>
        <v/>
      </c>
    </row>
    <row r="6">
      <c r="A6" t="inlineStr">
        <is>
          <t>Maj</t>
        </is>
      </c>
      <c r="B6" t="n">
        <v>105000</v>
      </c>
      <c r="C6" t="n">
        <v>104628</v>
      </c>
      <c r="D6">
        <f>C6-B6</f>
        <v/>
      </c>
      <c r="E6">
        <f>D6/B6*100</f>
        <v/>
      </c>
    </row>
    <row r="7">
      <c r="A7" t="inlineStr">
        <is>
          <t>Czerwiec</t>
        </is>
      </c>
      <c r="B7" t="n">
        <v>115000</v>
      </c>
      <c r="C7" t="n">
        <v>109144</v>
      </c>
      <c r="D7">
        <f>C7-B7</f>
        <v/>
      </c>
      <c r="E7">
        <f>D7/B7*100</f>
        <v/>
      </c>
    </row>
    <row r="8">
      <c r="A8" t="inlineStr">
        <is>
          <t>Lipiec</t>
        </is>
      </c>
      <c r="B8" t="n">
        <v>95000</v>
      </c>
      <c r="C8" t="n">
        <v>86717</v>
      </c>
      <c r="D8">
        <f>C8-B8</f>
        <v/>
      </c>
      <c r="E8">
        <f>D8/B8*100</f>
        <v/>
      </c>
    </row>
    <row r="9">
      <c r="A9" t="inlineStr">
        <is>
          <t>Sierpien</t>
        </is>
      </c>
      <c r="B9" t="n">
        <v>90000</v>
      </c>
      <c r="C9" t="n">
        <v>80697</v>
      </c>
      <c r="D9">
        <f>C9-B9</f>
        <v/>
      </c>
      <c r="E9">
        <f>D9/B9*100</f>
        <v/>
      </c>
    </row>
    <row r="10">
      <c r="A10" t="inlineStr">
        <is>
          <t>Wrzesien</t>
        </is>
      </c>
      <c r="B10" t="n">
        <v>105000</v>
      </c>
      <c r="C10" t="n">
        <v>117651</v>
      </c>
      <c r="D10">
        <f>C10-B10</f>
        <v/>
      </c>
      <c r="E10">
        <f>D10/B10*100</f>
        <v/>
      </c>
    </row>
    <row r="11">
      <c r="A11" t="inlineStr">
        <is>
          <t>Pazdziernik</t>
        </is>
      </c>
      <c r="B11" t="n">
        <v>110000</v>
      </c>
      <c r="C11" t="n">
        <v>97082</v>
      </c>
      <c r="D11">
        <f>C11-B11</f>
        <v/>
      </c>
      <c r="E11">
        <f>D11/B11*100</f>
        <v/>
      </c>
    </row>
    <row r="12">
      <c r="A12" t="inlineStr">
        <is>
          <t>Listopad</t>
        </is>
      </c>
      <c r="B12" t="n">
        <v>115000</v>
      </c>
      <c r="C12" t="n">
        <v>101952</v>
      </c>
      <c r="D12">
        <f>C12-B12</f>
        <v/>
      </c>
      <c r="E12">
        <f>D12/B12*100</f>
        <v/>
      </c>
    </row>
    <row r="13">
      <c r="A13" t="inlineStr">
        <is>
          <t>Grudzien</t>
        </is>
      </c>
      <c r="B13" t="n">
        <v>140000</v>
      </c>
      <c r="C13" t="n">
        <v>131140</v>
      </c>
      <c r="D13">
        <f>C13-B13</f>
        <v/>
      </c>
      <c r="E13">
        <f>D13/B13*100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2026-01-05T12:50:30Z</dcterms:created>
  <dcterms:modified xmlns:dcterms="http://purl.org/dc/terms/" xmlns:xsi="http://www.w3.org/2001/XMLSchema-instance" xsi:type="dcterms:W3CDTF">2026-01-05T12:50:30Z</dcterms:modified>
</cp:coreProperties>
</file>